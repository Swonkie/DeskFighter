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<sst xmlns="http://schemas.openxmlformats.org/spreadsheetml/2006/main" uniqueCount="109">
  <si>
    <t>Matrix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</si>
  <si>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</si>
  <si>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</si>
  <si>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</si>
  <si>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</si>
  <si>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</si>
  <si>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</si>
  <si>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</si>
  <si>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</si>
  <si>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</si>
  <si>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</si>
  <si>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</si>
  <si>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</si>
  <si>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</si>
  <si>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</si>
  <si>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</si>
  <si>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</si>
  <si>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</si>
  <si>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esc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</si>
  <si>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</si>
  <si>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</si>
  <si>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</si>
  <si>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</si>
  <si>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</si>
  <si>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</si>
  <si>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</si>
  <si>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</si>
  <si>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</si>
  <si>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</si>
  <si>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</si>
  <si>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</si>
  <si>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mute</t>
  </si>
  <si>
    <t>prev</t>
  </si>
  <si>
    <t>next</t>
  </si>
  <si>
    <t>pause</t>
  </si>
  <si>
    <t>eject</t>
  </si>
  <si>
    <t>home</t>
  </si>
  <si>
    <t>pgup</t>
  </si>
  <si>
    <t>`</t>
  </si>
  <si>
    <t>-</t>
  </si>
  <si>
    <t>=</t>
  </si>
  <si>
    <t>del</t>
  </si>
  <si>
    <t>ins</t>
  </si>
  <si>
    <t>end</t>
  </si>
  <si>
    <t>pgdown</t>
  </si>
  <si>
    <t>tab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</si>
  <si>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</si>
  <si>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</si>
  <si>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</si>
  <si>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</si>
  <si>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</si>
  <si>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</si>
  <si>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</si>
  <si>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</si>
  <si>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</si>
  <si>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</si>
  <si>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[</t>
  </si>
  <si>
    <t>]</t>
  </si>
  <si>
    <t>\</t>
  </si>
  <si>
    <t>fn</t>
  </si>
  <si>
    <t>num</t>
  </si>
  <si>
    <t>caps</t>
  </si>
  <si>
    <t>a</t>
  </si>
  <si>
    <t>s</t>
  </si>
  <si>
    <t>d</t>
  </si>
  <si>
    <t>f</t>
  </si>
  <si>
    <t>g</t>
  </si>
  <si>
    <t>h</t>
  </si>
  <si>
    <t>j</t>
  </si>
  <si>
    <t>k</t>
  </si>
  <si>
    <t>l</t>
  </si>
  <si>
    <t>;</t>
  </si>
  <si>
    <t>'</t>
  </si>
  <si>
    <t>enter</t>
  </si>
  <si>
    <t>↑</t>
  </si>
  <si>
    <t>z</t>
  </si>
  <si>
    <t>x</t>
  </si>
  <si>
    <t>c</t>
  </si>
  <si>
    <t>v</t>
  </si>
  <si>
    <t>b</t>
  </si>
  <si>
    <t>n</t>
  </si>
  <si>
    <t>m</t>
  </si>
  <si>
    <t>,</t>
  </si>
  <si>
    <t>.</t>
  </si>
  <si>
    <t>/</t>
  </si>
  <si>
    <t>←</t>
  </si>
  <si>
    <t>↓</t>
  </si>
  <si>
    <t>→</t>
  </si>
  <si>
    <t>_shift L</t>
  </si>
  <si>
    <t>_ctrl L</t>
  </si>
  <si>
    <t>_alt L</t>
  </si>
  <si>
    <t>_cmd L</t>
  </si>
  <si>
    <t>_space</t>
  </si>
  <si>
    <t>_backsp</t>
  </si>
  <si>
    <t>_cmd R</t>
  </si>
  <si>
    <t>_alt R</t>
  </si>
  <si>
    <t>_ctrl R</t>
  </si>
  <si>
    <t>_shift R</t>
  </si>
  <si>
    <t>Stats</t>
  </si>
  <si>
    <t>matrix rows</t>
  </si>
  <si>
    <t>matrix columns</t>
  </si>
  <si>
    <t>maximum number of keys</t>
  </si>
  <si>
    <t>actual number of keys</t>
  </si>
  <si>
    <t>required microcontroller I/O pins</t>
  </si>
  <si>
    <t>keys with diodes</t>
  </si>
  <si>
    <t>Legend</t>
  </si>
  <si>
    <t>no diode</t>
  </si>
  <si>
    <t>_ctrl</t>
  </si>
  <si>
    <t>diode (to protect against ghosting)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</si>
</sst>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10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10"/>
      </top>
      <bottom style="thin">
        <color indexed="9"/>
      </bottom>
      <diagonal/>
    </border>
    <border>
      <left style="thin">
        <color indexed="8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0"/>
      </right>
      <top style="thin">
        <color indexed="9"/>
      </top>
      <bottom style="thin">
        <color indexed="8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9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10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horizontal="center" vertical="top" wrapText="1"/>
    </xf>
  </cellStyleXfs>
  <cellXfs count="33">
    <xf numFmtId="0" fontId="0" applyNumberFormat="0" applyFont="1" applyFill="0" applyBorder="0" applyAlignment="1" applyProtection="0">
      <alignment horizontal="center" vertical="top" wrapText="1"/>
    </xf>
    <xf numFmtId="0" fontId="0" applyNumberFormat="1" applyFont="1" applyFill="0" applyBorder="0" applyAlignment="1" applyProtection="0">
      <alignment horizontal="center" vertical="top" wrapText="1"/>
    </xf>
    <xf numFmtId="0" fontId="1" applyNumberFormat="0" applyFont="1" applyFill="0" applyBorder="0" applyAlignment="1" applyProtection="0">
      <alignment horizontal="center" vertical="center"/>
    </xf>
    <xf numFmtId="0" fontId="2" borderId="1" applyNumberFormat="0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2" borderId="3" applyNumberFormat="1" applyFont="1" applyFill="0" applyBorder="1" applyAlignment="1" applyProtection="0">
      <alignment horizontal="center" vertical="center" wrapText="1"/>
    </xf>
    <xf numFmtId="0" fontId="2" borderId="4" applyNumberFormat="1" applyFont="1" applyFill="0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2" borderId="8" applyNumberFormat="1" applyFont="1" applyFill="0" applyBorder="1" applyAlignment="1" applyProtection="0">
      <alignment horizontal="center" vertical="center" wrapText="1"/>
    </xf>
    <xf numFmtId="49" fontId="0" borderId="9" applyNumberFormat="1" applyFont="1" applyFill="0" applyBorder="1" applyAlignment="1" applyProtection="0">
      <alignment horizontal="center" vertical="center" wrapText="1"/>
    </xf>
    <xf numFmtId="49" fontId="0" borderId="10" applyNumberFormat="1" applyFont="1" applyFill="0" applyBorder="1" applyAlignment="1" applyProtection="0">
      <alignment horizontal="center" vertical="center" wrapText="1"/>
    </xf>
    <xf numFmtId="49" fontId="0" borderId="11" applyNumberFormat="1" applyFont="1" applyFill="0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horizontal="center" vertical="center" wrapText="1"/>
    </xf>
    <xf numFmtId="0" fontId="2" borderId="12" applyNumberFormat="1" applyFont="1" applyFill="0" applyBorder="1" applyAlignment="1" applyProtection="0">
      <alignment horizontal="center" vertical="center" wrapText="1"/>
    </xf>
    <xf numFmtId="49" fontId="0" borderId="13" applyNumberFormat="1" applyFont="1" applyFill="0" applyBorder="1" applyAlignment="1" applyProtection="0">
      <alignment horizontal="center" vertical="center" wrapText="1"/>
    </xf>
    <xf numFmtId="49" fontId="0" borderId="14" applyNumberFormat="1" applyFont="1" applyFill="0" applyBorder="1" applyAlignment="1" applyProtection="0">
      <alignment horizontal="center" vertical="center" wrapText="1"/>
    </xf>
    <xf numFmtId="49" fontId="0" borderId="15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horizontal="center" vertical="top" wrapText="1"/>
    </xf>
    <xf numFmtId="49" fontId="2" fillId="2" borderId="16" applyNumberFormat="1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horizontal="right" vertical="top" wrapText="1"/>
    </xf>
    <xf numFmtId="49" fontId="2" fillId="2" borderId="8" applyNumberFormat="1" applyFont="1" applyFill="1" applyBorder="1" applyAlignment="1" applyProtection="0">
      <alignment vertical="top" wrapText="1"/>
    </xf>
    <xf numFmtId="0" fontId="0" borderId="18" applyNumberFormat="1" applyFont="1" applyFill="0" applyBorder="1" applyAlignment="1" applyProtection="0">
      <alignment horizontal="right" vertical="top" wrapText="1"/>
    </xf>
    <xf numFmtId="0" fontId="2" borderId="18" applyNumberFormat="1" applyFont="1" applyFill="0" applyBorder="1" applyAlignment="1" applyProtection="0">
      <alignment horizontal="right" vertical="top" wrapText="1"/>
    </xf>
    <xf numFmtId="49" fontId="2" fillId="2" borderId="12" applyNumberFormat="1" applyFont="1" applyFill="1" applyBorder="1" applyAlignment="1" applyProtection="0">
      <alignment vertical="top" wrapText="1"/>
    </xf>
    <xf numFmtId="0" fontId="2" borderId="19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horizontal="center" vertical="top" wrapText="1"/>
    </xf>
    <xf numFmtId="49" fontId="0" borderId="20" applyNumberFormat="1" applyFont="1" applyFill="0" applyBorder="1" applyAlignment="1" applyProtection="0">
      <alignment horizontal="center" vertical="center" wrapText="1"/>
    </xf>
    <xf numFmtId="49" fontId="0" borderId="21" applyNumberFormat="1" applyFont="1" applyFill="0" applyBorder="1" applyAlignment="1" applyProtection="0">
      <alignment horizontal="left" vertical="center" wrapText="1"/>
    </xf>
    <xf numFmtId="49" fontId="0" borderId="22" applyNumberFormat="1" applyFont="1" applyFill="0" applyBorder="1" applyAlignment="1" applyProtection="0">
      <alignment horizontal="center" vertical="center" wrapText="1"/>
    </xf>
    <xf numFmtId="49" fontId="0" borderId="15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4"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0000"/>
      <rgbColor rgb="e588ccff"/>
      <rgbColor rgb="e5afe489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V2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8" width="7.91406" style="1" customWidth="1"/>
    <col min="19" max="19" width="29.8828" style="20" customWidth="1"/>
    <col min="20" max="20" width="7.58594" style="20" customWidth="1"/>
    <col min="21" max="21" width="7.875" style="28" customWidth="1"/>
    <col min="22" max="22" width="27.7969" style="28" customWidth="1"/>
    <col min="23" max="16384" width="16.3516" style="2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7.7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5">
        <v>17</v>
      </c>
    </row>
    <row r="3" ht="37.7" customHeight="1">
      <c r="A3" s="6">
        <v>0</v>
      </c>
      <c r="B3" t="s" s="7">
        <v>18</v>
      </c>
      <c r="C3" t="s" s="8">
        <v>19</v>
      </c>
      <c r="D3" t="s" s="8">
        <v>20</v>
      </c>
      <c r="E3" t="s" s="8">
        <v>21</v>
      </c>
      <c r="F3" t="s" s="8">
        <v>22</v>
      </c>
      <c r="G3" t="s" s="8">
        <v>23</v>
      </c>
      <c r="H3" t="s" s="8">
        <v>24</v>
      </c>
      <c r="I3" t="s" s="8">
        <v>25</v>
      </c>
      <c r="J3" t="s" s="8">
        <v>26</v>
      </c>
      <c r="K3" t="s" s="8">
        <v>27</v>
      </c>
      <c r="L3" t="s" s="8">
        <v>28</v>
      </c>
      <c r="M3" t="s" s="8">
        <v>29</v>
      </c>
      <c r="N3" t="s" s="8">
        <v>30</v>
      </c>
      <c r="O3" t="s" s="8">
        <v>31</v>
      </c>
      <c r="P3" t="s" s="8">
        <v>32</v>
      </c>
      <c r="Q3" t="s" s="8">
        <v>33</v>
      </c>
      <c r="R3" t="s" s="9">
        <v>34</v>
      </c>
    </row>
    <row r="4" ht="37.7" customHeight="1">
      <c r="A4" s="10">
        <v>1</v>
      </c>
      <c r="B4" t="s" s="11">
        <v>35</v>
      </c>
      <c r="C4" t="s" s="12">
        <v>36</v>
      </c>
      <c r="D4" t="s" s="12">
        <v>37</v>
      </c>
      <c r="E4" t="s" s="12">
        <v>38</v>
      </c>
      <c r="F4" t="s" s="12">
        <v>2</v>
      </c>
      <c r="G4" t="s" s="12">
        <v>3</v>
      </c>
      <c r="H4" t="s" s="12">
        <v>4</v>
      </c>
      <c r="I4" t="s" s="12">
        <v>5</v>
      </c>
      <c r="J4" t="s" s="12">
        <v>6</v>
      </c>
      <c r="K4" t="s" s="12">
        <v>7</v>
      </c>
      <c r="L4" t="s" s="12">
        <v>8</v>
      </c>
      <c r="M4" t="s" s="12">
        <v>9</v>
      </c>
      <c r="N4" t="s" s="12">
        <v>10</v>
      </c>
      <c r="O4" t="s" s="12">
        <v>1</v>
      </c>
      <c r="P4" t="s" s="12">
        <v>39</v>
      </c>
      <c r="Q4" t="s" s="12">
        <v>40</v>
      </c>
      <c r="R4" t="s" s="13">
        <v>41</v>
      </c>
    </row>
    <row r="5" ht="37.7" customHeight="1">
      <c r="A5" s="10">
        <v>2</v>
      </c>
      <c r="B5" t="s" s="11">
        <v>42</v>
      </c>
      <c r="C5" t="s" s="12">
        <v>43</v>
      </c>
      <c r="D5" t="s" s="12">
        <v>44</v>
      </c>
      <c r="E5" t="s" s="12">
        <v>45</v>
      </c>
      <c r="F5" t="s" s="12">
        <v>46</v>
      </c>
      <c r="G5" t="s" s="12">
        <v>47</v>
      </c>
      <c r="H5" t="s" s="12">
        <v>48</v>
      </c>
      <c r="I5" t="s" s="12">
        <v>49</v>
      </c>
      <c r="J5" t="s" s="12">
        <v>50</v>
      </c>
      <c r="K5" t="s" s="12">
        <v>51</v>
      </c>
      <c r="L5" t="s" s="12">
        <v>52</v>
      </c>
      <c r="M5" t="s" s="12">
        <v>53</v>
      </c>
      <c r="N5" t="s" s="12">
        <v>54</v>
      </c>
      <c r="O5" t="s" s="12">
        <v>55</v>
      </c>
      <c r="P5" t="s" s="12">
        <v>56</v>
      </c>
      <c r="Q5" t="s" s="12">
        <v>57</v>
      </c>
      <c r="R5" t="s" s="13">
        <v>58</v>
      </c>
    </row>
    <row r="6" ht="37.7" customHeight="1">
      <c r="A6" s="10">
        <v>3</v>
      </c>
      <c r="B6" t="s" s="11">
        <v>59</v>
      </c>
      <c r="C6" s="12"/>
      <c r="D6" t="s" s="12">
        <v>60</v>
      </c>
      <c r="E6" t="s" s="12">
        <v>61</v>
      </c>
      <c r="F6" t="s" s="12">
        <v>62</v>
      </c>
      <c r="G6" t="s" s="12">
        <v>63</v>
      </c>
      <c r="H6" t="s" s="12">
        <v>64</v>
      </c>
      <c r="I6" t="s" s="12">
        <v>65</v>
      </c>
      <c r="J6" t="s" s="12">
        <v>66</v>
      </c>
      <c r="K6" t="s" s="12">
        <v>67</v>
      </c>
      <c r="L6" t="s" s="12">
        <v>68</v>
      </c>
      <c r="M6" t="s" s="12">
        <v>69</v>
      </c>
      <c r="N6" t="s" s="12">
        <v>70</v>
      </c>
      <c r="O6" t="s" s="12">
        <v>71</v>
      </c>
      <c r="P6" t="s" s="12">
        <v>72</v>
      </c>
      <c r="Q6" s="12"/>
      <c r="R6" t="s" s="13">
        <v>73</v>
      </c>
    </row>
    <row r="7" ht="37.7" customHeight="1">
      <c r="A7" s="10">
        <v>4</v>
      </c>
      <c r="B7" s="11"/>
      <c r="C7" t="s" s="12">
        <v>74</v>
      </c>
      <c r="D7" s="12"/>
      <c r="E7" s="14"/>
      <c r="F7" t="s" s="12">
        <v>75</v>
      </c>
      <c r="G7" t="s" s="12">
        <v>76</v>
      </c>
      <c r="H7" t="s" s="12">
        <v>77</v>
      </c>
      <c r="I7" t="s" s="12">
        <v>78</v>
      </c>
      <c r="J7" t="s" s="12">
        <v>79</v>
      </c>
      <c r="K7" t="s" s="12">
        <v>80</v>
      </c>
      <c r="L7" t="s" s="12">
        <v>81</v>
      </c>
      <c r="M7" t="s" s="12">
        <v>82</v>
      </c>
      <c r="N7" t="s" s="12">
        <v>83</v>
      </c>
      <c r="O7" t="s" s="12">
        <v>84</v>
      </c>
      <c r="P7" s="12"/>
      <c r="Q7" s="12"/>
      <c r="R7" s="15"/>
    </row>
    <row r="8" ht="37.7" customHeight="1">
      <c r="A8" s="16">
        <v>5</v>
      </c>
      <c r="B8" t="s" s="17">
        <v>85</v>
      </c>
      <c r="C8" t="s" s="18">
        <v>86</v>
      </c>
      <c r="D8" t="s" s="18">
        <v>87</v>
      </c>
      <c r="E8" t="s" s="18">
        <v>88</v>
      </c>
      <c r="F8" t="s" s="18">
        <v>89</v>
      </c>
      <c r="G8" s="18"/>
      <c r="H8" s="18"/>
      <c r="I8" s="18"/>
      <c r="J8" t="s" s="18">
        <v>90</v>
      </c>
      <c r="K8" t="s" s="18">
        <v>91</v>
      </c>
      <c r="L8" t="s" s="18">
        <v>92</v>
      </c>
      <c r="M8" t="s" s="18">
        <v>93</v>
      </c>
      <c r="N8" t="s" s="18">
        <v>92</v>
      </c>
      <c r="O8" t="s" s="18">
        <v>94</v>
      </c>
      <c r="P8" t="s" s="18">
        <v>95</v>
      </c>
      <c r="Q8" t="s" s="18">
        <v>96</v>
      </c>
      <c r="R8" t="s" s="19">
        <v>97</v>
      </c>
    </row>
    <row r="10" ht="27.65" customHeight="1">
      <c r="S10" t="s" s="2">
        <v>98</v>
      </c>
      <c r="T10" s="2"/>
    </row>
    <row r="11" ht="20.35" customHeight="1">
      <c r="S11" t="s" s="21">
        <v>99</v>
      </c>
      <c r="T11" s="22" cm="1">
        <f t="array" ref="T11">ROWS(B3:B8)</f>
        <v>6</v>
      </c>
    </row>
    <row r="12" ht="20.05" customHeight="1">
      <c r="S12" t="s" s="23">
        <v>100</v>
      </c>
      <c r="T12" s="24" cm="1">
        <f t="array" ref="T12">COLUMNS(B3:R3)</f>
        <v>17</v>
      </c>
    </row>
    <row r="13" ht="20.05" customHeight="1">
      <c r="S13" t="s" s="23">
        <v>101</v>
      </c>
      <c r="T13" s="24" cm="1">
        <f t="array" ref="T13">T11*T12</f>
        <v>102</v>
      </c>
    </row>
    <row r="14" ht="20.05" customHeight="1">
      <c r="S14" t="s" s="23">
        <v>102</v>
      </c>
      <c r="T14" s="25" cm="1">
        <f t="array" ref="T14">COUNTA(B3:R8)</f>
        <v>91</v>
      </c>
    </row>
    <row r="15" ht="20.05" customHeight="1">
      <c r="S15" t="s" s="23">
        <v>103</v>
      </c>
      <c r="T15" s="25" cm="1">
        <f t="array" ref="T15">T11+T12</f>
        <v>23</v>
      </c>
    </row>
    <row r="16" ht="20.35" customHeight="1">
      <c r="S16" t="s" s="26">
        <v>104</v>
      </c>
      <c r="T16" s="27" cm="1">
        <f t="array" ref="T16">COUNTIF(B3:R8,"_*")</f>
        <v>11</v>
      </c>
    </row>
    <row r="18" ht="27.65" customHeight="1">
      <c r="U18" t="s" s="2">
        <v>105</v>
      </c>
      <c r="V18" s="2"/>
    </row>
    <row r="19" ht="37.85" customHeight="1">
      <c r="U19" t="s" s="29">
        <v>18</v>
      </c>
      <c r="V19" t="s" s="30">
        <v>106</v>
      </c>
    </row>
    <row r="20" ht="37.85" customHeight="1">
      <c r="U20" t="s" s="31">
        <v>107</v>
      </c>
      <c r="V20" t="s" s="32">
        <v>108</v>
      </c>
    </row>
  </sheetData>
  <mergeCells count="3">
    <mergeCell ref="A1:R1"/>
    <mergeCell ref="S10:T10"/>
    <mergeCell ref="U18:V18"/>
  </mergeCells>
  <conditionalFormatting sqref="B3:R8">
    <cfRule type="beginsWith" dxfId="0" priority="1" stopIfTrue="1" text="_">
      <formula>FIND(UPPER("_"),UPPER(B3))=1</formula>
      <formula>"_"</formula>
    </cfRule>
    <cfRule type="notContainsBlanks" dxfId="1" priority="2" stopIfTrue="1">
      <formula>NOT(ISBLANK(B3))</formula>
    </cfRule>
  </conditionalFormatting>
  <conditionalFormatting sqref="U19:U20">
    <cfRule type="beginsWith" dxfId="2" priority="1" stopIfTrue="1" text="_">
      <formula>FIND(UPPER("_"),UPPER(U19))=1</formula>
      <formula>"_"</formula>
    </cfRule>
    <cfRule type="notContainsBlanks" dxfId="3" priority="2" stopIfTrue="1">
      <formula>NOT(ISBLANK(U19))</formula>
    </cfRule>
  </conditionalFormatting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